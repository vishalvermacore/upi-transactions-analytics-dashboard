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3FD33CE-80C1-4588-A8A4-6AF75A29183B}" xr6:coauthVersionLast="47" xr6:coauthVersionMax="47" xr10:uidLastSave="{00000000-0000-0000-0000-000000000000}"/>
  <bookViews>
    <workbookView xWindow="-96" yWindow="0" windowWidth="11712" windowHeight="13056" xr2:uid="{62EFBA47-2AEB-4EC8-8B39-A8AB8D5E48E4}"/>
  </bookViews>
  <sheets>
    <sheet name="Image_metrics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B2" i="2"/>
  <c r="A3" i="2"/>
  <c r="B3" i="2"/>
  <c r="A4" i="2"/>
  <c r="B4" i="2"/>
  <c r="A5" i="2"/>
  <c r="B5" i="2"/>
  <c r="A6" i="2"/>
  <c r="B6" i="2"/>
  <c r="A7" i="2"/>
  <c r="B7" i="2"/>
  <c r="A8" i="2"/>
  <c r="B8" i="2"/>
  <c r="A11" i="2"/>
  <c r="B11" i="2"/>
  <c r="A12" i="2"/>
  <c r="B12" i="2"/>
  <c r="A13" i="2"/>
  <c r="B13" i="2"/>
  <c r="A14" i="2"/>
  <c r="B14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</calcChain>
</file>

<file path=xl/sharedStrings.xml><?xml version="1.0" encoding="utf-8"?>
<sst xmlns="http://schemas.openxmlformats.org/spreadsheetml/2006/main" count="1" uniqueCount="1">
  <si>
    <t>Day/Hr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</si>
</sst>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0.00\ \C\r"/>
    <numFmt numFmtId="165" formatCode=";;;"/>
    <numFmt numFmtId="166" formatCode="&quot;₹&quot;\ #.00\ \C\r"/>
    <numFmt numFmtId="167" formatCode="0.0%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Segoe UI Semibold"/>
      <family val="2"/>
    </font>
    <font>
      <b/>
      <sz val="9"/>
      <color theme="1"/>
      <name val="Segoe UI"/>
      <family val="2"/>
    </font>
    <font>
      <sz val="9"/>
      <color theme="1" tint="0.24997711111789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166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left"/>
    </xf>
    <xf numFmtId="167" fontId="3" fillId="0" borderId="0" xfId="0" applyNumberFormat="1" applyFont="1"/>
    <xf numFmtId="1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cel%20Projects\UPI%20Transactions%20Analyse%20Dashboard.xlsx" TargetMode="External"/><Relationship Id="rId1" Type="http://schemas.openxmlformats.org/officeDocument/2006/relationships/externalLinkPath" Target="Excel%20Projects/UPI%20Transactions%20Analys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_Worksheet"/>
      <sheetName val="Image_metrics"/>
      <sheetName val="UPI Dashboard"/>
    </sheetNames>
    <sheetDataSet>
      <sheetData sheetId="0">
        <row r="59">
          <cell r="A59" t="str">
            <v>Row Labels</v>
          </cell>
        </row>
        <row r="60">
          <cell r="A60" t="str">
            <v>PhonePe</v>
          </cell>
        </row>
        <row r="61">
          <cell r="A61" t="str">
            <v>Google Pay</v>
          </cell>
        </row>
        <row r="62">
          <cell r="A62" t="str">
            <v>Paytm</v>
          </cell>
        </row>
        <row r="63">
          <cell r="A63" t="str">
            <v>Amazon Pay</v>
          </cell>
        </row>
        <row r="64">
          <cell r="A64" t="str">
            <v>BHIM</v>
          </cell>
        </row>
        <row r="65">
          <cell r="A65" t="str">
            <v>Cred Pay</v>
          </cell>
        </row>
        <row r="66">
          <cell r="A66" t="str">
            <v>WhatsApp Pay</v>
          </cell>
        </row>
        <row r="69">
          <cell r="A69" t="str">
            <v>Row Labels</v>
          </cell>
        </row>
        <row r="70">
          <cell r="A70" t="str">
            <v>Success</v>
          </cell>
        </row>
        <row r="71">
          <cell r="A71" t="str">
            <v>Failed</v>
          </cell>
        </row>
        <row r="72">
          <cell r="A72" t="str">
            <v>Pending</v>
          </cell>
        </row>
        <row r="73">
          <cell r="A73" t="str">
            <v>Refunded</v>
          </cell>
        </row>
        <row r="76">
          <cell r="A76" t="str">
            <v>Row Labels</v>
          </cell>
        </row>
        <row r="77">
          <cell r="A77" t="str">
            <v>Maharashtra</v>
          </cell>
        </row>
        <row r="78">
          <cell r="A78" t="str">
            <v>Karnataka</v>
          </cell>
        </row>
        <row r="79">
          <cell r="A79" t="str">
            <v>Delhi</v>
          </cell>
        </row>
        <row r="80">
          <cell r="A80" t="str">
            <v>Rajasthan</v>
          </cell>
        </row>
        <row r="81">
          <cell r="A81" t="str">
            <v>Uttar Pradesh</v>
          </cell>
        </row>
        <row r="82">
          <cell r="A82" t="str">
            <v>Tamil Nadu</v>
          </cell>
        </row>
        <row r="83">
          <cell r="A83" t="str">
            <v>Gujarat</v>
          </cell>
        </row>
        <row r="84">
          <cell r="A84" t="str">
            <v>Telangana</v>
          </cell>
        </row>
        <row r="85">
          <cell r="A85" t="str">
            <v>West Bengal</v>
          </cell>
        </row>
        <row r="86">
          <cell r="A86" t="str">
            <v>Madhya Pradesh</v>
          </cell>
        </row>
        <row r="87">
          <cell r="A87" t="str">
            <v>Kerala</v>
          </cell>
        </row>
        <row r="142">
          <cell r="A142" t="str">
            <v>Sum of Amount_INR</v>
          </cell>
        </row>
        <row r="143">
          <cell r="B143">
            <v>0</v>
          </cell>
          <cell r="C143">
            <v>1</v>
          </cell>
          <cell r="D143">
            <v>2</v>
          </cell>
          <cell r="E143">
            <v>3</v>
          </cell>
          <cell r="F143">
            <v>4</v>
          </cell>
          <cell r="G143">
            <v>5</v>
          </cell>
          <cell r="H143">
            <v>6</v>
          </cell>
          <cell r="I143">
            <v>7</v>
          </cell>
          <cell r="J143">
            <v>8</v>
          </cell>
          <cell r="K143">
            <v>9</v>
          </cell>
          <cell r="L143">
            <v>10</v>
          </cell>
          <cell r="M143">
            <v>11</v>
          </cell>
          <cell r="N143">
            <v>12</v>
          </cell>
          <cell r="O143">
            <v>13</v>
          </cell>
          <cell r="P143">
            <v>14</v>
          </cell>
          <cell r="Q143">
            <v>15</v>
          </cell>
          <cell r="R143">
            <v>16</v>
          </cell>
          <cell r="S143">
            <v>17</v>
          </cell>
          <cell r="T143">
            <v>18</v>
          </cell>
          <cell r="U143">
            <v>19</v>
          </cell>
          <cell r="V143">
            <v>20</v>
          </cell>
          <cell r="W143">
            <v>21</v>
          </cell>
          <cell r="X143">
            <v>22</v>
          </cell>
          <cell r="Y143">
            <v>23</v>
          </cell>
        </row>
        <row r="144">
          <cell r="A144" t="str">
            <v>Sunday</v>
          </cell>
        </row>
        <row r="145">
          <cell r="A145" t="str">
            <v>Monday</v>
          </cell>
        </row>
        <row r="146">
          <cell r="A146" t="str">
            <v>Tuesday</v>
          </cell>
        </row>
        <row r="147">
          <cell r="A147" t="str">
            <v>Wednesday</v>
          </cell>
        </row>
        <row r="148">
          <cell r="A148" t="str">
            <v>Thursday</v>
          </cell>
        </row>
        <row r="149">
          <cell r="A149" t="str">
            <v>Friday</v>
          </cell>
        </row>
        <row r="150">
          <cell r="A150" t="str">
            <v>Saturday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FF2E-1AD6-48B2-A7CA-89E511DE31EE}">
  <dimension ref="A2:AD37"/>
  <sheetViews>
    <sheetView showGridLines="0" tabSelected="1" zoomScale="74" zoomScaleNormal="68" workbookViewId="0">
      <selection activeCell="D16" sqref="D16"/>
    </sheetView>
  </sheetViews>
  <sheetFormatPr defaultRowHeight="14.4" x14ac:dyDescent="0.3"/>
  <cols>
    <col min="1" max="1" width="12.44140625" bestFit="1" customWidth="1"/>
    <col min="4" max="4" width="14.33203125" bestFit="1" customWidth="1"/>
    <col min="5" max="5" width="13.21875" bestFit="1" customWidth="1"/>
    <col min="6" max="6" width="10.21875" customWidth="1"/>
    <col min="7" max="30" width="3.77734375" customWidth="1"/>
  </cols>
  <sheetData>
    <row r="2" spans="1:5" x14ac:dyDescent="0.3">
      <c r="A2" t="str">
        <f>[1]Pivot_Worksheet!A60</f>
        <v>PhonePe</v>
      </c>
      <c r="B2" s="8">
        <f>GETPIVOTDATA("Amount_INR",[1]Pivot_Worksheet!$A$59,"UPI_App",A2)</f>
        <v>0.49751930476939882</v>
      </c>
    </row>
    <row r="3" spans="1:5" x14ac:dyDescent="0.3">
      <c r="A3" t="str">
        <f>[1]Pivot_Worksheet!A61</f>
        <v>Google Pay</v>
      </c>
      <c r="B3" s="8">
        <f>GETPIVOTDATA("Amount_INR",[1]Pivot_Worksheet!$A$59,"UPI_App",A3)</f>
        <v>0.21306620624978315</v>
      </c>
    </row>
    <row r="4" spans="1:5" x14ac:dyDescent="0.3">
      <c r="A4" t="str">
        <f>[1]Pivot_Worksheet!A62</f>
        <v>Paytm</v>
      </c>
      <c r="B4" s="8">
        <f>GETPIVOTDATA("Amount_INR",[1]Pivot_Worksheet!$A$59,"UPI_App",A4)</f>
        <v>0.14337327963388533</v>
      </c>
    </row>
    <row r="5" spans="1:5" x14ac:dyDescent="0.3">
      <c r="A5" t="str">
        <f>[1]Pivot_Worksheet!A63</f>
        <v>Amazon Pay</v>
      </c>
      <c r="B5" s="8">
        <f>GETPIVOTDATA("Amount_INR",[1]Pivot_Worksheet!$A$59,"UPI_App",A5)</f>
        <v>4.9212993332102641E-2</v>
      </c>
    </row>
    <row r="6" spans="1:5" x14ac:dyDescent="0.3">
      <c r="A6" t="str">
        <f>[1]Pivot_Worksheet!A64</f>
        <v>BHIM</v>
      </c>
      <c r="B6" s="8">
        <f>GETPIVOTDATA("Amount_INR",[1]Pivot_Worksheet!$A$59,"UPI_App",A6)</f>
        <v>3.8444063028235678E-2</v>
      </c>
    </row>
    <row r="7" spans="1:5" x14ac:dyDescent="0.3">
      <c r="A7" t="str">
        <f>[1]Pivot_Worksheet!A65</f>
        <v>Cred Pay</v>
      </c>
      <c r="B7" s="8">
        <f>GETPIVOTDATA("Amount_INR",[1]Pivot_Worksheet!$A$59,"UPI_App",A7)</f>
        <v>2.9502926740980116E-2</v>
      </c>
    </row>
    <row r="8" spans="1:5" x14ac:dyDescent="0.3">
      <c r="A8" t="str">
        <f>[1]Pivot_Worksheet!A66</f>
        <v>WhatsApp Pay</v>
      </c>
      <c r="B8" s="8">
        <f>GETPIVOTDATA("Amount_INR",[1]Pivot_Worksheet!$A$59,"UPI_App",A8)</f>
        <v>2.8881226245614292E-2</v>
      </c>
    </row>
    <row r="11" spans="1:5" x14ac:dyDescent="0.3">
      <c r="A11" t="str">
        <f>[1]Pivot_Worksheet!A70</f>
        <v>Success</v>
      </c>
      <c r="B11" s="7">
        <f>GETPIVOTDATA("Amount_INR",[1]Pivot_Worksheet!$A$69,"Status",[1]Pivot_Worksheet!A70)</f>
        <v>0.91052447100997758</v>
      </c>
    </row>
    <row r="12" spans="1:5" x14ac:dyDescent="0.3">
      <c r="A12" t="str">
        <f>[1]Pivot_Worksheet!A71</f>
        <v>Failed</v>
      </c>
      <c r="B12" s="7">
        <f>GETPIVOTDATA("Amount_INR",[1]Pivot_Worksheet!$A$69,"Status",[1]Pivot_Worksheet!A71)</f>
        <v>6.950153644308539E-2</v>
      </c>
    </row>
    <row r="13" spans="1:5" x14ac:dyDescent="0.3">
      <c r="A13" t="str">
        <f>[1]Pivot_Worksheet!A72</f>
        <v>Pending</v>
      </c>
      <c r="B13" s="7">
        <f>GETPIVOTDATA("Amount_INR",[1]Pivot_Worksheet!$A$69,"Status",[1]Pivot_Worksheet!A72)</f>
        <v>1.9619728180607275E-2</v>
      </c>
    </row>
    <row r="14" spans="1:5" x14ac:dyDescent="0.3">
      <c r="A14" t="str">
        <f>[1]Pivot_Worksheet!A73</f>
        <v>Refunded</v>
      </c>
      <c r="B14" s="7">
        <f>GETPIVOTDATA("Amount_INR",[1]Pivot_Worksheet!$A$69,"Status",[1]Pivot_Worksheet!A73)</f>
        <v>3.5426436632981432E-4</v>
      </c>
    </row>
    <row r="16" spans="1:5" x14ac:dyDescent="0.3">
      <c r="D16" s="6" t="str">
        <f>[1]Pivot_Worksheet!A77</f>
        <v>Maharashtra</v>
      </c>
      <c r="E16" s="5">
        <f>(GETPIVOTDATA("Amount_INR",[1]Pivot_Worksheet!$A$76,"State",[1]Pivot_Worksheet!A77))/10000000</f>
        <v>4.5412518910000044</v>
      </c>
    </row>
    <row r="17" spans="4:30" x14ac:dyDescent="0.3">
      <c r="D17" s="6" t="str">
        <f>[1]Pivot_Worksheet!A78</f>
        <v>Karnataka</v>
      </c>
      <c r="E17" s="5">
        <f>(GETPIVOTDATA("Amount_INR",[1]Pivot_Worksheet!$A$76,"State",[1]Pivot_Worksheet!A78))/10000000</f>
        <v>4.5093039629999794</v>
      </c>
    </row>
    <row r="18" spans="4:30" x14ac:dyDescent="0.3">
      <c r="D18" s="6" t="str">
        <f>[1]Pivot_Worksheet!A79</f>
        <v>Delhi</v>
      </c>
      <c r="E18" s="5">
        <f>(GETPIVOTDATA("Amount_INR",[1]Pivot_Worksheet!$A$76,"State",[1]Pivot_Worksheet!A79))/10000000</f>
        <v>4.478657644999994</v>
      </c>
    </row>
    <row r="19" spans="4:30" x14ac:dyDescent="0.3">
      <c r="D19" s="6" t="str">
        <f>[1]Pivot_Worksheet!A80</f>
        <v>Rajasthan</v>
      </c>
      <c r="E19" s="5">
        <f>(GETPIVOTDATA("Amount_INR",[1]Pivot_Worksheet!$A$76,"State",[1]Pivot_Worksheet!A80))/10000000</f>
        <v>4.4222249160000082</v>
      </c>
    </row>
    <row r="20" spans="4:30" x14ac:dyDescent="0.3">
      <c r="D20" s="6" t="str">
        <f>[1]Pivot_Worksheet!A81</f>
        <v>Uttar Pradesh</v>
      </c>
      <c r="E20" s="5">
        <f>(GETPIVOTDATA("Amount_INR",[1]Pivot_Worksheet!$A$76,"State",[1]Pivot_Worksheet!A81))/10000000</f>
        <v>4.4100021430000451</v>
      </c>
    </row>
    <row r="21" spans="4:30" x14ac:dyDescent="0.3">
      <c r="D21" s="6" t="str">
        <f>[1]Pivot_Worksheet!A82</f>
        <v>Tamil Nadu</v>
      </c>
      <c r="E21" s="5">
        <f>(GETPIVOTDATA("Amount_INR",[1]Pivot_Worksheet!$A$76,"State",[1]Pivot_Worksheet!A82))/10000000</f>
        <v>4.4008537630000104</v>
      </c>
    </row>
    <row r="22" spans="4:30" x14ac:dyDescent="0.3">
      <c r="D22" s="6" t="str">
        <f>[1]Pivot_Worksheet!A83</f>
        <v>Gujarat</v>
      </c>
      <c r="E22" s="5">
        <f>(GETPIVOTDATA("Amount_INR",[1]Pivot_Worksheet!$A$76,"State",[1]Pivot_Worksheet!A83))/10000000</f>
        <v>4.4007900949999872</v>
      </c>
    </row>
    <row r="23" spans="4:30" x14ac:dyDescent="0.3">
      <c r="D23" s="6" t="str">
        <f>[1]Pivot_Worksheet!A84</f>
        <v>Telangana</v>
      </c>
      <c r="E23" s="5">
        <f>(GETPIVOTDATA("Amount_INR",[1]Pivot_Worksheet!$A$76,"State",[1]Pivot_Worksheet!A84))/10000000</f>
        <v>4.3871372669999529</v>
      </c>
    </row>
    <row r="24" spans="4:30" x14ac:dyDescent="0.3">
      <c r="D24" s="6" t="str">
        <f>[1]Pivot_Worksheet!A85</f>
        <v>West Bengal</v>
      </c>
      <c r="E24" s="5">
        <f>(GETPIVOTDATA("Amount_INR",[1]Pivot_Worksheet!$A$76,"State",[1]Pivot_Worksheet!A85))/10000000</f>
        <v>4.3693958820000098</v>
      </c>
    </row>
    <row r="25" spans="4:30" x14ac:dyDescent="0.3">
      <c r="D25" s="6" t="str">
        <f>[1]Pivot_Worksheet!A86</f>
        <v>Madhya Pradesh</v>
      </c>
      <c r="E25" s="5">
        <f>(GETPIVOTDATA("Amount_INR",[1]Pivot_Worksheet!$A$76,"State",[1]Pivot_Worksheet!A86))/10000000</f>
        <v>4.1894030129999962</v>
      </c>
    </row>
    <row r="26" spans="4:30" x14ac:dyDescent="0.3">
      <c r="D26" s="6" t="str">
        <f>[1]Pivot_Worksheet!A87</f>
        <v>Kerala</v>
      </c>
      <c r="E26" s="5">
        <f>(GETPIVOTDATA("Amount_INR",[1]Pivot_Worksheet!$A$76,"State",[1]Pivot_Worksheet!A87))/10000000</f>
        <v>0.13922307800000003</v>
      </c>
    </row>
    <row r="29" spans="4:30" x14ac:dyDescent="0.3">
      <c r="F29" s="4" t="s">
        <v>0</v>
      </c>
      <c r="G29" s="3">
        <f>[1]Pivot_Worksheet!B143</f>
        <v>0</v>
      </c>
      <c r="H29" s="3">
        <f>[1]Pivot_Worksheet!C143</f>
        <v>1</v>
      </c>
      <c r="I29" s="3">
        <f>[1]Pivot_Worksheet!D143</f>
        <v>2</v>
      </c>
      <c r="J29" s="3">
        <f>[1]Pivot_Worksheet!E143</f>
        <v>3</v>
      </c>
      <c r="K29" s="3">
        <f>[1]Pivot_Worksheet!F143</f>
        <v>4</v>
      </c>
      <c r="L29" s="3">
        <f>[1]Pivot_Worksheet!G143</f>
        <v>5</v>
      </c>
      <c r="M29" s="3">
        <f>[1]Pivot_Worksheet!H143</f>
        <v>6</v>
      </c>
      <c r="N29" s="3">
        <f>[1]Pivot_Worksheet!I143</f>
        <v>7</v>
      </c>
      <c r="O29" s="3">
        <f>[1]Pivot_Worksheet!J143</f>
        <v>8</v>
      </c>
      <c r="P29" s="3">
        <f>[1]Pivot_Worksheet!K143</f>
        <v>9</v>
      </c>
      <c r="Q29" s="3">
        <f>[1]Pivot_Worksheet!L143</f>
        <v>10</v>
      </c>
      <c r="R29" s="3">
        <f>[1]Pivot_Worksheet!M143</f>
        <v>11</v>
      </c>
      <c r="S29" s="3">
        <f>[1]Pivot_Worksheet!N143</f>
        <v>12</v>
      </c>
      <c r="T29" s="3">
        <f>[1]Pivot_Worksheet!O143</f>
        <v>13</v>
      </c>
      <c r="U29" s="3">
        <f>[1]Pivot_Worksheet!P143</f>
        <v>14</v>
      </c>
      <c r="V29" s="3">
        <f>[1]Pivot_Worksheet!Q143</f>
        <v>15</v>
      </c>
      <c r="W29" s="3">
        <f>[1]Pivot_Worksheet!R143</f>
        <v>16</v>
      </c>
      <c r="X29" s="3">
        <f>[1]Pivot_Worksheet!S143</f>
        <v>17</v>
      </c>
      <c r="Y29" s="3">
        <f>[1]Pivot_Worksheet!T143</f>
        <v>18</v>
      </c>
      <c r="Z29" s="3">
        <f>[1]Pivot_Worksheet!U143</f>
        <v>19</v>
      </c>
      <c r="AA29" s="3">
        <f>[1]Pivot_Worksheet!V143</f>
        <v>20</v>
      </c>
      <c r="AB29" s="3">
        <f>[1]Pivot_Worksheet!W143</f>
        <v>21</v>
      </c>
      <c r="AC29" s="3">
        <f>[1]Pivot_Worksheet!X143</f>
        <v>22</v>
      </c>
      <c r="AD29" s="3">
        <f>[1]Pivot_Worksheet!Y143</f>
        <v>23</v>
      </c>
    </row>
    <row r="30" spans="4:30" x14ac:dyDescent="0.3">
      <c r="F30" s="3" t="str">
        <f>[1]Pivot_Worksheet!A144</f>
        <v>Sunday</v>
      </c>
      <c r="G30" s="2">
        <f>(GETPIVOTDATA("Amount_INR",[1]Pivot_Worksheet!$A$142,"Day",[1]Pivot_Worksheet!A144,"Hour",0))/10000000</f>
        <v>3.4118096999999993E-2</v>
      </c>
      <c r="H30" s="2">
        <f>(GETPIVOTDATA("Amount_INR",[1]Pivot_Worksheet!$A$142,"Day",[1]Pivot_Worksheet!A144,"Hour",1))/10000000</f>
        <v>1.4898160999999995E-2</v>
      </c>
      <c r="I30" s="2">
        <f>(GETPIVOTDATA("Amount_INR",[1]Pivot_Worksheet!$A$142,"Day",[1]Pivot_Worksheet!A144,"Hour",2))/10000000</f>
        <v>1.2112308000000002E-2</v>
      </c>
      <c r="J30" s="2">
        <f>(GETPIVOTDATA("Amount_INR",[1]Pivot_Worksheet!$A$142,"Day",[1]Pivot_Worksheet!A144,"Hour",3))/10000000</f>
        <v>6.2105700000000021E-3</v>
      </c>
      <c r="K30" s="2">
        <f>(GETPIVOTDATA("Amount_INR",[1]Pivot_Worksheet!$A$142,"Day",[1]Pivot_Worksheet!A144,"Hour",4))/10000000</f>
        <v>4.4083489999999989E-3</v>
      </c>
      <c r="L30" s="2">
        <f>(GETPIVOTDATA("Amount_INR",[1]Pivot_Worksheet!$A$142,"Day",[1]Pivot_Worksheet!A144,"Hour",5))/10000000</f>
        <v>1.2763474000000006E-2</v>
      </c>
      <c r="M30" s="2">
        <f>(GETPIVOTDATA("Amount_INR",[1]Pivot_Worksheet!$A$142,"Day",[1]Pivot_Worksheet!A144,"Hour",6))/10000000</f>
        <v>4.5591371000000012E-2</v>
      </c>
      <c r="N30" s="2">
        <f>(GETPIVOTDATA("Amount_INR",[1]Pivot_Worksheet!$A$142,"Day",[1]Pivot_Worksheet!A144,"Hour",7))/10000000</f>
        <v>0.11298372899999977</v>
      </c>
      <c r="O30" s="2">
        <f>(GETPIVOTDATA("Amount_INR",[1]Pivot_Worksheet!$A$142,"Day",[1]Pivot_Worksheet!A144,"Hour",8))/10000000</f>
        <v>0.27546202600000008</v>
      </c>
      <c r="P30" s="2">
        <f>(GETPIVOTDATA("Amount_INR",[1]Pivot_Worksheet!$A$142,"Day",[1]Pivot_Worksheet!A144,"Hour",9))/10000000</f>
        <v>0.34576337300000082</v>
      </c>
      <c r="Q30" s="2">
        <f>(GETPIVOTDATA("Amount_INR",[1]Pivot_Worksheet!$A$142,"Day",[1]Pivot_Worksheet!A144,"Hour",10))/10000000</f>
        <v>0.42963872200000008</v>
      </c>
      <c r="R30" s="2">
        <f>(GETPIVOTDATA("Amount_INR",[1]Pivot_Worksheet!$A$142,"Day",[1]Pivot_Worksheet!A144,"Hour",11))/10000000</f>
        <v>0.44685999299999934</v>
      </c>
      <c r="S30" s="2">
        <f>(GETPIVOTDATA("Amount_INR",[1]Pivot_Worksheet!$A$142,"Day",[1]Pivot_Worksheet!A144,"Hour",12))/10000000</f>
        <v>0.51527433799999978</v>
      </c>
      <c r="T30" s="2">
        <f>(GETPIVOTDATA("Amount_INR",[1]Pivot_Worksheet!$A$142,"Day",[1]Pivot_Worksheet!A144,"Hour",13))/10000000</f>
        <v>0.45984583499999887</v>
      </c>
      <c r="U30" s="2">
        <f>(GETPIVOTDATA("Amount_INR",[1]Pivot_Worksheet!$A$142,"Day",[1]Pivot_Worksheet!A144,"Hour",14))/10000000</f>
        <v>0.42057414500000151</v>
      </c>
      <c r="V30" s="2">
        <f>(GETPIVOTDATA("Amount_INR",[1]Pivot_Worksheet!$A$142,"Day",[1]Pivot_Worksheet!A144,"Hour",15))/10000000</f>
        <v>0.426758358</v>
      </c>
      <c r="W30" s="2">
        <f>(GETPIVOTDATA("Amount_INR",[1]Pivot_Worksheet!$A$142,"Day",[1]Pivot_Worksheet!A144,"Hour",16))/10000000</f>
        <v>0.41749075799999891</v>
      </c>
      <c r="X30" s="2">
        <f>(GETPIVOTDATA("Amount_INR",[1]Pivot_Worksheet!$A$142,"Day",[1]Pivot_Worksheet!A144,"Hour",17))/10000000</f>
        <v>0.57088593500000095</v>
      </c>
      <c r="Y30" s="2">
        <f>(GETPIVOTDATA("Amount_INR",[1]Pivot_Worksheet!$A$142,"Day",[1]Pivot_Worksheet!A144,"Hour",18))/10000000</f>
        <v>0.6846159590000005</v>
      </c>
      <c r="Z30" s="2">
        <f>(GETPIVOTDATA("Amount_INR",[1]Pivot_Worksheet!$A$142,"Day",[1]Pivot_Worksheet!A144,"Hour",19))/10000000</f>
        <v>0.74149260200000311</v>
      </c>
      <c r="AA30" s="2">
        <f>(GETPIVOTDATA("Amount_INR",[1]Pivot_Worksheet!$A$142,"Day",[1]Pivot_Worksheet!A144,"Hour",20))/10000000</f>
        <v>0.62775177200000021</v>
      </c>
      <c r="AB30" s="2">
        <f>(GETPIVOTDATA("Amount_INR",[1]Pivot_Worksheet!$A$142,"Day",[1]Pivot_Worksheet!A144,"Hour",21))/10000000</f>
        <v>0.30682104800000126</v>
      </c>
      <c r="AC30" s="2">
        <f>(GETPIVOTDATA("Amount_INR",[1]Pivot_Worksheet!$A$142,"Day",[1]Pivot_Worksheet!A144,"Hour",22))/10000000</f>
        <v>0.15736947800000006</v>
      </c>
      <c r="AD30" s="2">
        <f>(GETPIVOTDATA("Amount_INR",[1]Pivot_Worksheet!$A$142,"Day",[1]Pivot_Worksheet!A144,"Hour",23))/10000000</f>
        <v>5.2691473000000023E-2</v>
      </c>
    </row>
    <row r="31" spans="4:30" x14ac:dyDescent="0.3">
      <c r="F31" s="3" t="str">
        <f>[1]Pivot_Worksheet!A145</f>
        <v>Monday</v>
      </c>
      <c r="G31" s="2">
        <f>(GETPIVOTDATA("Amount_INR",[1]Pivot_Worksheet!$A$142,"Day",[1]Pivot_Worksheet!A145,"Hour",0))/10000000</f>
        <v>2.381228799999999E-2</v>
      </c>
      <c r="H31" s="2">
        <f>(GETPIVOTDATA("Amount_INR",[1]Pivot_Worksheet!$A$142,"Day",[1]Pivot_Worksheet!A145,"Hour",1))/10000000</f>
        <v>1.1821861999999997E-2</v>
      </c>
      <c r="I31" s="2">
        <f>(GETPIVOTDATA("Amount_INR",[1]Pivot_Worksheet!$A$142,"Day",[1]Pivot_Worksheet!A145,"Hour",2))/10000000</f>
        <v>5.2199279999999995E-3</v>
      </c>
      <c r="J31" s="2">
        <f>(GETPIVOTDATA("Amount_INR",[1]Pivot_Worksheet!$A$142,"Day",[1]Pivot_Worksheet!A145,"Hour",3))/10000000</f>
        <v>6.4807790000000007E-3</v>
      </c>
      <c r="K31" s="2">
        <f>(GETPIVOTDATA("Amount_INR",[1]Pivot_Worksheet!$A$142,"Day",[1]Pivot_Worksheet!A145,"Hour",4))/10000000</f>
        <v>3.7087150000000009E-3</v>
      </c>
      <c r="L31" s="2">
        <f>(GETPIVOTDATA("Amount_INR",[1]Pivot_Worksheet!$A$142,"Day",[1]Pivot_Worksheet!A145,"Hour",5))/10000000</f>
        <v>8.387358000000001E-3</v>
      </c>
      <c r="M31" s="2">
        <f>(GETPIVOTDATA("Amount_INR",[1]Pivot_Worksheet!$A$142,"Day",[1]Pivot_Worksheet!A145,"Hour",6))/10000000</f>
        <v>4.1805113999999997E-2</v>
      </c>
      <c r="N31" s="2">
        <f>(GETPIVOTDATA("Amount_INR",[1]Pivot_Worksheet!$A$142,"Day",[1]Pivot_Worksheet!A145,"Hour",7))/10000000</f>
        <v>7.9801543999999947E-2</v>
      </c>
      <c r="O31" s="2">
        <f>(GETPIVOTDATA("Amount_INR",[1]Pivot_Worksheet!$A$142,"Day",[1]Pivot_Worksheet!A145,"Hour",8))/10000000</f>
        <v>0.21394185899999985</v>
      </c>
      <c r="P31" s="2">
        <f>(GETPIVOTDATA("Amount_INR",[1]Pivot_Worksheet!$A$142,"Day",[1]Pivot_Worksheet!A145,"Hour",9))/10000000</f>
        <v>0.29712639800000001</v>
      </c>
      <c r="Q31" s="2">
        <f>(GETPIVOTDATA("Amount_INR",[1]Pivot_Worksheet!$A$142,"Day",[1]Pivot_Worksheet!A145,"Hour",10))/10000000</f>
        <v>0.33263480399999984</v>
      </c>
      <c r="R31" s="2">
        <f>(GETPIVOTDATA("Amount_INR",[1]Pivot_Worksheet!$A$142,"Day",[1]Pivot_Worksheet!A145,"Hour",11))/10000000</f>
        <v>0.37501214599999988</v>
      </c>
      <c r="S31" s="2">
        <f>(GETPIVOTDATA("Amount_INR",[1]Pivot_Worksheet!$A$142,"Day",[1]Pivot_Worksheet!A145,"Hour",12))/10000000</f>
        <v>0.41763558500000003</v>
      </c>
      <c r="T31" s="2">
        <f>(GETPIVOTDATA("Amount_INR",[1]Pivot_Worksheet!$A$142,"Day",[1]Pivot_Worksheet!A145,"Hour",13))/10000000</f>
        <v>0.37125384700000003</v>
      </c>
      <c r="U31" s="2">
        <f>(GETPIVOTDATA("Amount_INR",[1]Pivot_Worksheet!$A$142,"Day",[1]Pivot_Worksheet!A145,"Hour",14))/10000000</f>
        <v>0.37795966199999975</v>
      </c>
      <c r="V31" s="2">
        <f>(GETPIVOTDATA("Amount_INR",[1]Pivot_Worksheet!$A$142,"Day",[1]Pivot_Worksheet!A145,"Hour",15))/10000000</f>
        <v>0.34698125100000032</v>
      </c>
      <c r="W31" s="2">
        <f>(GETPIVOTDATA("Amount_INR",[1]Pivot_Worksheet!$A$142,"Day",[1]Pivot_Worksheet!A145,"Hour",16))/10000000</f>
        <v>0.31648109199999974</v>
      </c>
      <c r="X31" s="2">
        <f>(GETPIVOTDATA("Amount_INR",[1]Pivot_Worksheet!$A$142,"Day",[1]Pivot_Worksheet!A145,"Hour",17))/10000000</f>
        <v>0.45059231300000008</v>
      </c>
      <c r="Y31" s="2">
        <f>(GETPIVOTDATA("Amount_INR",[1]Pivot_Worksheet!$A$142,"Day",[1]Pivot_Worksheet!A145,"Hour",18))/10000000</f>
        <v>0.53027188900000066</v>
      </c>
      <c r="Z31" s="2">
        <f>(GETPIVOTDATA("Amount_INR",[1]Pivot_Worksheet!$A$142,"Day",[1]Pivot_Worksheet!A145,"Hour",19))/10000000</f>
        <v>0.60726062399999914</v>
      </c>
      <c r="AA31" s="2">
        <f>(GETPIVOTDATA("Amount_INR",[1]Pivot_Worksheet!$A$142,"Day",[1]Pivot_Worksheet!A145,"Hour",20))/10000000</f>
        <v>0.49887089300000031</v>
      </c>
      <c r="AB31" s="2">
        <f>(GETPIVOTDATA("Amount_INR",[1]Pivot_Worksheet!$A$142,"Day",[1]Pivot_Worksheet!A145,"Hour",21))/10000000</f>
        <v>0.26165498100000018</v>
      </c>
      <c r="AC31" s="2">
        <f>(GETPIVOTDATA("Amount_INR",[1]Pivot_Worksheet!$A$142,"Day",[1]Pivot_Worksheet!A145,"Hour",22))/10000000</f>
        <v>0.12664834599999994</v>
      </c>
      <c r="AD31" s="2">
        <f>(GETPIVOTDATA("Amount_INR",[1]Pivot_Worksheet!$A$142,"Day",[1]Pivot_Worksheet!A145,"Hour",23))/10000000</f>
        <v>5.2647250000000034E-2</v>
      </c>
    </row>
    <row r="32" spans="4:30" x14ac:dyDescent="0.3">
      <c r="F32" s="3" t="str">
        <f>[1]Pivot_Worksheet!A146</f>
        <v>Tuesday</v>
      </c>
      <c r="G32" s="2">
        <f>(GETPIVOTDATA("Amount_INR",[1]Pivot_Worksheet!$A$142,"Day",[1]Pivot_Worksheet!A146,"Hour",0))/10000000</f>
        <v>2.3705646000000021E-2</v>
      </c>
      <c r="H32" s="2">
        <f>(GETPIVOTDATA("Amount_INR",[1]Pivot_Worksheet!$A$142,"Day",[1]Pivot_Worksheet!A146,"Hour",1))/10000000</f>
        <v>1.2004215000000002E-2</v>
      </c>
      <c r="I32" s="2">
        <f>(GETPIVOTDATA("Amount_INR",[1]Pivot_Worksheet!$A$142,"Day",[1]Pivot_Worksheet!A146,"Hour",2))/10000000</f>
        <v>7.3680930000000009E-3</v>
      </c>
      <c r="J32" s="2">
        <f>(GETPIVOTDATA("Amount_INR",[1]Pivot_Worksheet!$A$142,"Day",[1]Pivot_Worksheet!A146,"Hour",3))/10000000</f>
        <v>5.5347600000000005E-3</v>
      </c>
      <c r="K32" s="2">
        <f>(GETPIVOTDATA("Amount_INR",[1]Pivot_Worksheet!$A$142,"Day",[1]Pivot_Worksheet!A146,"Hour",4))/10000000</f>
        <v>4.3476909999999981E-3</v>
      </c>
      <c r="L32" s="2">
        <f>(GETPIVOTDATA("Amount_INR",[1]Pivot_Worksheet!$A$142,"Day",[1]Pivot_Worksheet!A146,"Hour",5))/10000000</f>
        <v>8.2650239999999993E-3</v>
      </c>
      <c r="M32" s="2">
        <f>(GETPIVOTDATA("Amount_INR",[1]Pivot_Worksheet!$A$142,"Day",[1]Pivot_Worksheet!A146,"Hour",6))/10000000</f>
        <v>3.6669345999999998E-2</v>
      </c>
      <c r="N32" s="2">
        <f>(GETPIVOTDATA("Amount_INR",[1]Pivot_Worksheet!$A$142,"Day",[1]Pivot_Worksheet!A146,"Hour",7))/10000000</f>
        <v>8.5806433000000015E-2</v>
      </c>
      <c r="O32" s="2">
        <f>(GETPIVOTDATA("Amount_INR",[1]Pivot_Worksheet!$A$142,"Day",[1]Pivot_Worksheet!A146,"Hour",8))/10000000</f>
        <v>0.21591212399999965</v>
      </c>
      <c r="P32" s="2">
        <f>(GETPIVOTDATA("Amount_INR",[1]Pivot_Worksheet!$A$142,"Day",[1]Pivot_Worksheet!A146,"Hour",9))/10000000</f>
        <v>0.30410121800000012</v>
      </c>
      <c r="Q32" s="2">
        <f>(GETPIVOTDATA("Amount_INR",[1]Pivot_Worksheet!$A$142,"Day",[1]Pivot_Worksheet!A146,"Hour",10))/10000000</f>
        <v>0.33803288400000014</v>
      </c>
      <c r="R32" s="2">
        <f>(GETPIVOTDATA("Amount_INR",[1]Pivot_Worksheet!$A$142,"Day",[1]Pivot_Worksheet!A146,"Hour",11))/10000000</f>
        <v>0.37202713099999957</v>
      </c>
      <c r="S32" s="2">
        <f>(GETPIVOTDATA("Amount_INR",[1]Pivot_Worksheet!$A$142,"Day",[1]Pivot_Worksheet!A146,"Hour",12))/10000000</f>
        <v>0.41152155099999982</v>
      </c>
      <c r="T32" s="2">
        <f>(GETPIVOTDATA("Amount_INR",[1]Pivot_Worksheet!$A$142,"Day",[1]Pivot_Worksheet!A146,"Hour",13))/10000000</f>
        <v>0.37395137999999994</v>
      </c>
      <c r="U32" s="2">
        <f>(GETPIVOTDATA("Amount_INR",[1]Pivot_Worksheet!$A$142,"Day",[1]Pivot_Worksheet!A146,"Hour",14))/10000000</f>
        <v>0.34497865700000069</v>
      </c>
      <c r="V32" s="2">
        <f>(GETPIVOTDATA("Amount_INR",[1]Pivot_Worksheet!$A$142,"Day",[1]Pivot_Worksheet!A146,"Hour",15))/10000000</f>
        <v>0.35353682400000014</v>
      </c>
      <c r="W32" s="2">
        <f>(GETPIVOTDATA("Amount_INR",[1]Pivot_Worksheet!$A$142,"Day",[1]Pivot_Worksheet!A146,"Hour",16))/10000000</f>
        <v>0.34469013699999873</v>
      </c>
      <c r="X32" s="2">
        <f>(GETPIVOTDATA("Amount_INR",[1]Pivot_Worksheet!$A$142,"Day",[1]Pivot_Worksheet!A146,"Hour",17))/10000000</f>
        <v>0.47388211400000063</v>
      </c>
      <c r="Y32" s="2">
        <f>(GETPIVOTDATA("Amount_INR",[1]Pivot_Worksheet!$A$142,"Day",[1]Pivot_Worksheet!A146,"Hour",18))/10000000</f>
        <v>0.54841611900000031</v>
      </c>
      <c r="Z32" s="2">
        <f>(GETPIVOTDATA("Amount_INR",[1]Pivot_Worksheet!$A$142,"Day",[1]Pivot_Worksheet!A146,"Hour",19))/10000000</f>
        <v>0.5921292369999992</v>
      </c>
      <c r="AA32" s="2">
        <f>(GETPIVOTDATA("Amount_INR",[1]Pivot_Worksheet!$A$142,"Day",[1]Pivot_Worksheet!A146,"Hour",20))/10000000</f>
        <v>0.49623220799999901</v>
      </c>
      <c r="AB32" s="2">
        <f>(GETPIVOTDATA("Amount_INR",[1]Pivot_Worksheet!$A$142,"Day",[1]Pivot_Worksheet!A146,"Hour",21))/10000000</f>
        <v>0.23904354100000016</v>
      </c>
      <c r="AC32" s="2">
        <f>(GETPIVOTDATA("Amount_INR",[1]Pivot_Worksheet!$A$142,"Day",[1]Pivot_Worksheet!A146,"Hour",22))/10000000</f>
        <v>0.14591319700000008</v>
      </c>
      <c r="AD32" s="2">
        <f>(GETPIVOTDATA("Amount_INR",[1]Pivot_Worksheet!$A$142,"Day",[1]Pivot_Worksheet!A146,"Hour",23))/10000000</f>
        <v>4.0847381000000002E-2</v>
      </c>
    </row>
    <row r="33" spans="6:30" x14ac:dyDescent="0.3">
      <c r="F33" s="3" t="str">
        <f>[1]Pivot_Worksheet!A147</f>
        <v>Wednesday</v>
      </c>
      <c r="G33" s="2">
        <f>(GETPIVOTDATA("Amount_INR",[1]Pivot_Worksheet!$A$142,"Day",[1]Pivot_Worksheet!A147,"Hour",0))/10000000</f>
        <v>2.3470735999999982E-2</v>
      </c>
      <c r="H33" s="2">
        <f>(GETPIVOTDATA("Amount_INR",[1]Pivot_Worksheet!$A$142,"Day",[1]Pivot_Worksheet!A147,"Hour",1))/10000000</f>
        <v>1.1683826000000003E-2</v>
      </c>
      <c r="I33" s="2">
        <f>(GETPIVOTDATA("Amount_INR",[1]Pivot_Worksheet!$A$142,"Day",[1]Pivot_Worksheet!A147,"Hour",2))/10000000</f>
        <v>6.6503429999999995E-3</v>
      </c>
      <c r="J33" s="2">
        <f>(GETPIVOTDATA("Amount_INR",[1]Pivot_Worksheet!$A$142,"Day",[1]Pivot_Worksheet!A147,"Hour",3))/10000000</f>
        <v>3.3116959999999998E-3</v>
      </c>
      <c r="K33" s="2">
        <f>(GETPIVOTDATA("Amount_INR",[1]Pivot_Worksheet!$A$142,"Day",[1]Pivot_Worksheet!A147,"Hour",4))/10000000</f>
        <v>3.3820090000000009E-3</v>
      </c>
      <c r="L33" s="2">
        <f>(GETPIVOTDATA("Amount_INR",[1]Pivot_Worksheet!$A$142,"Day",[1]Pivot_Worksheet!A147,"Hour",5))/10000000</f>
        <v>8.1673099999999988E-3</v>
      </c>
      <c r="M33" s="2">
        <f>(GETPIVOTDATA("Amount_INR",[1]Pivot_Worksheet!$A$142,"Day",[1]Pivot_Worksheet!A147,"Hour",6))/10000000</f>
        <v>4.2948585000000046E-2</v>
      </c>
      <c r="N33" s="2">
        <f>(GETPIVOTDATA("Amount_INR",[1]Pivot_Worksheet!$A$142,"Day",[1]Pivot_Worksheet!A147,"Hour",7))/10000000</f>
        <v>8.6159910999999992E-2</v>
      </c>
      <c r="O33" s="2">
        <f>(GETPIVOTDATA("Amount_INR",[1]Pivot_Worksheet!$A$142,"Day",[1]Pivot_Worksheet!A147,"Hour",8))/10000000</f>
        <v>0.21584807799999983</v>
      </c>
      <c r="P33" s="2">
        <f>(GETPIVOTDATA("Amount_INR",[1]Pivot_Worksheet!$A$142,"Day",[1]Pivot_Worksheet!A147,"Hour",9))/10000000</f>
        <v>0.27665806700000029</v>
      </c>
      <c r="Q33" s="2">
        <f>(GETPIVOTDATA("Amount_INR",[1]Pivot_Worksheet!$A$142,"Day",[1]Pivot_Worksheet!A147,"Hour",10))/10000000</f>
        <v>0.3167319150000002</v>
      </c>
      <c r="R33" s="2">
        <f>(GETPIVOTDATA("Amount_INR",[1]Pivot_Worksheet!$A$142,"Day",[1]Pivot_Worksheet!A147,"Hour",11))/10000000</f>
        <v>0.37018395999999937</v>
      </c>
      <c r="S33" s="2">
        <f>(GETPIVOTDATA("Amount_INR",[1]Pivot_Worksheet!$A$142,"Day",[1]Pivot_Worksheet!A147,"Hour",12))/10000000</f>
        <v>0.45149002100000185</v>
      </c>
      <c r="T33" s="2">
        <f>(GETPIVOTDATA("Amount_INR",[1]Pivot_Worksheet!$A$142,"Day",[1]Pivot_Worksheet!A147,"Hour",13))/10000000</f>
        <v>0.36521276700000016</v>
      </c>
      <c r="U33" s="2">
        <f>(GETPIVOTDATA("Amount_INR",[1]Pivot_Worksheet!$A$142,"Day",[1]Pivot_Worksheet!A147,"Hour",14))/10000000</f>
        <v>0.33173407200000082</v>
      </c>
      <c r="V33" s="2">
        <f>(GETPIVOTDATA("Amount_INR",[1]Pivot_Worksheet!$A$142,"Day",[1]Pivot_Worksheet!A147,"Hour",15))/10000000</f>
        <v>0.31549318400000104</v>
      </c>
      <c r="W33" s="2">
        <f>(GETPIVOTDATA("Amount_INR",[1]Pivot_Worksheet!$A$142,"Day",[1]Pivot_Worksheet!A147,"Hour",16))/10000000</f>
        <v>0.32455653199999995</v>
      </c>
      <c r="X33" s="2">
        <f>(GETPIVOTDATA("Amount_INR",[1]Pivot_Worksheet!$A$142,"Day",[1]Pivot_Worksheet!A147,"Hour",17))/10000000</f>
        <v>0.46378730200000184</v>
      </c>
      <c r="Y33" s="2">
        <f>(GETPIVOTDATA("Amount_INR",[1]Pivot_Worksheet!$A$142,"Day",[1]Pivot_Worksheet!A147,"Hour",18))/10000000</f>
        <v>0.54904536699999873</v>
      </c>
      <c r="Z33" s="2">
        <f>(GETPIVOTDATA("Amount_INR",[1]Pivot_Worksheet!$A$142,"Day",[1]Pivot_Worksheet!A147,"Hour",19))/10000000</f>
        <v>0.60539181799999797</v>
      </c>
      <c r="AA33" s="2">
        <f>(GETPIVOTDATA("Amount_INR",[1]Pivot_Worksheet!$A$142,"Day",[1]Pivot_Worksheet!A147,"Hour",20))/10000000</f>
        <v>0.48795171999999992</v>
      </c>
      <c r="AB33" s="2">
        <f>(GETPIVOTDATA("Amount_INR",[1]Pivot_Worksheet!$A$142,"Day",[1]Pivot_Worksheet!A147,"Hour",21))/10000000</f>
        <v>0.25226009999999932</v>
      </c>
      <c r="AC33" s="2">
        <f>(GETPIVOTDATA("Amount_INR",[1]Pivot_Worksheet!$A$142,"Day",[1]Pivot_Worksheet!A147,"Hour",22))/10000000</f>
        <v>0.12607853399999994</v>
      </c>
      <c r="AD33" s="2">
        <f>(GETPIVOTDATA("Amount_INR",[1]Pivot_Worksheet!$A$142,"Day",[1]Pivot_Worksheet!A147,"Hour",23))/10000000</f>
        <v>3.9853142000000043E-2</v>
      </c>
    </row>
    <row r="34" spans="6:30" x14ac:dyDescent="0.3">
      <c r="F34" s="3" t="str">
        <f>[1]Pivot_Worksheet!A148</f>
        <v>Thursday</v>
      </c>
      <c r="G34" s="2">
        <f>(GETPIVOTDATA("Amount_INR",[1]Pivot_Worksheet!$A$142,"Day",[1]Pivot_Worksheet!A148,"Hour",0))/10000000</f>
        <v>2.3756559000000007E-2</v>
      </c>
      <c r="H34" s="2">
        <f>(GETPIVOTDATA("Amount_INR",[1]Pivot_Worksheet!$A$142,"Day",[1]Pivot_Worksheet!A148,"Hour",1))/10000000</f>
        <v>1.4203624999999999E-2</v>
      </c>
      <c r="I34" s="2">
        <f>(GETPIVOTDATA("Amount_INR",[1]Pivot_Worksheet!$A$142,"Day",[1]Pivot_Worksheet!A148,"Hour",2))/10000000</f>
        <v>8.5588469999999979E-3</v>
      </c>
      <c r="J34" s="2">
        <f>(GETPIVOTDATA("Amount_INR",[1]Pivot_Worksheet!$A$142,"Day",[1]Pivot_Worksheet!A148,"Hour",3))/10000000</f>
        <v>3.3814229999999997E-3</v>
      </c>
      <c r="K34" s="2">
        <f>(GETPIVOTDATA("Amount_INR",[1]Pivot_Worksheet!$A$142,"Day",[1]Pivot_Worksheet!A148,"Hour",4))/10000000</f>
        <v>4.9263370000000011E-3</v>
      </c>
      <c r="L34" s="2">
        <f>(GETPIVOTDATA("Amount_INR",[1]Pivot_Worksheet!$A$142,"Day",[1]Pivot_Worksheet!A148,"Hour",5))/10000000</f>
        <v>8.9330750000000004E-3</v>
      </c>
      <c r="M34" s="2">
        <f>(GETPIVOTDATA("Amount_INR",[1]Pivot_Worksheet!$A$142,"Day",[1]Pivot_Worksheet!A148,"Hour",6))/10000000</f>
        <v>3.8219455000000013E-2</v>
      </c>
      <c r="N34" s="2">
        <f>(GETPIVOTDATA("Amount_INR",[1]Pivot_Worksheet!$A$142,"Day",[1]Pivot_Worksheet!A148,"Hour",7))/10000000</f>
        <v>7.5067684000000107E-2</v>
      </c>
      <c r="O34" s="2">
        <f>(GETPIVOTDATA("Amount_INR",[1]Pivot_Worksheet!$A$142,"Day",[1]Pivot_Worksheet!A148,"Hour",8))/10000000</f>
        <v>0.21631322399999994</v>
      </c>
      <c r="P34" s="2">
        <f>(GETPIVOTDATA("Amount_INR",[1]Pivot_Worksheet!$A$142,"Day",[1]Pivot_Worksheet!A148,"Hour",9))/10000000</f>
        <v>0.28979626799999963</v>
      </c>
      <c r="Q34" s="2">
        <f>(GETPIVOTDATA("Amount_INR",[1]Pivot_Worksheet!$A$142,"Day",[1]Pivot_Worksheet!A148,"Hour",10))/10000000</f>
        <v>0.33984138899999988</v>
      </c>
      <c r="R34" s="2">
        <f>(GETPIVOTDATA("Amount_INR",[1]Pivot_Worksheet!$A$142,"Day",[1]Pivot_Worksheet!A148,"Hour",11))/10000000</f>
        <v>0.36422089000000157</v>
      </c>
      <c r="S34" s="2">
        <f>(GETPIVOTDATA("Amount_INR",[1]Pivot_Worksheet!$A$142,"Day",[1]Pivot_Worksheet!A148,"Hour",12))/10000000</f>
        <v>0.40980317000000077</v>
      </c>
      <c r="T34" s="2">
        <f>(GETPIVOTDATA("Amount_INR",[1]Pivot_Worksheet!$A$142,"Day",[1]Pivot_Worksheet!A148,"Hour",13))/10000000</f>
        <v>0.37113593700000064</v>
      </c>
      <c r="U34" s="2">
        <f>(GETPIVOTDATA("Amount_INR",[1]Pivot_Worksheet!$A$142,"Day",[1]Pivot_Worksheet!A148,"Hour",14))/10000000</f>
        <v>0.32045521199999938</v>
      </c>
      <c r="V34" s="2">
        <f>(GETPIVOTDATA("Amount_INR",[1]Pivot_Worksheet!$A$142,"Day",[1]Pivot_Worksheet!A148,"Hour",15))/10000000</f>
        <v>0.32626437200000014</v>
      </c>
      <c r="W34" s="2">
        <f>(GETPIVOTDATA("Amount_INR",[1]Pivot_Worksheet!$A$142,"Day",[1]Pivot_Worksheet!A148,"Hour",16))/10000000</f>
        <v>0.34097829800000085</v>
      </c>
      <c r="X34" s="2">
        <f>(GETPIVOTDATA("Amount_INR",[1]Pivot_Worksheet!$A$142,"Day",[1]Pivot_Worksheet!A148,"Hour",17))/10000000</f>
        <v>0.46441531899999994</v>
      </c>
      <c r="Y34" s="2">
        <f>(GETPIVOTDATA("Amount_INR",[1]Pivot_Worksheet!$A$142,"Day",[1]Pivot_Worksheet!A148,"Hour",18))/10000000</f>
        <v>0.52112243099999844</v>
      </c>
      <c r="Z34" s="2">
        <f>(GETPIVOTDATA("Amount_INR",[1]Pivot_Worksheet!$A$142,"Day",[1]Pivot_Worksheet!A148,"Hour",19))/10000000</f>
        <v>0.5770207359999997</v>
      </c>
      <c r="AA34" s="2">
        <f>(GETPIVOTDATA("Amount_INR",[1]Pivot_Worksheet!$A$142,"Day",[1]Pivot_Worksheet!A148,"Hour",20))/10000000</f>
        <v>0.4792379490000005</v>
      </c>
      <c r="AB34" s="2">
        <f>(GETPIVOTDATA("Amount_INR",[1]Pivot_Worksheet!$A$142,"Day",[1]Pivot_Worksheet!A148,"Hour",21))/10000000</f>
        <v>0.25350799600000007</v>
      </c>
      <c r="AC34" s="2">
        <f>(GETPIVOTDATA("Amount_INR",[1]Pivot_Worksheet!$A$142,"Day",[1]Pivot_Worksheet!A148,"Hour",22))/10000000</f>
        <v>0.12487053999999989</v>
      </c>
      <c r="AD34" s="2">
        <f>(GETPIVOTDATA("Amount_INR",[1]Pivot_Worksheet!$A$142,"Day",[1]Pivot_Worksheet!A148,"Hour",23))/10000000</f>
        <v>4.2419477000000004E-2</v>
      </c>
    </row>
    <row r="35" spans="6:30" x14ac:dyDescent="0.3">
      <c r="F35" s="3" t="str">
        <f>[1]Pivot_Worksheet!A149</f>
        <v>Friday</v>
      </c>
      <c r="G35" s="2">
        <f>(GETPIVOTDATA("Amount_INR",[1]Pivot_Worksheet!$A$142,"Day",[1]Pivot_Worksheet!A149,"Hour",0))/10000000</f>
        <v>3.4672346999999999E-2</v>
      </c>
      <c r="H35" s="2">
        <f>(GETPIVOTDATA("Amount_INR",[1]Pivot_Worksheet!$A$142,"Day",[1]Pivot_Worksheet!A149,"Hour",1))/10000000</f>
        <v>1.6613979000000008E-2</v>
      </c>
      <c r="I35" s="2">
        <f>(GETPIVOTDATA("Amount_INR",[1]Pivot_Worksheet!$A$142,"Day",[1]Pivot_Worksheet!A149,"Hour",2))/10000000</f>
        <v>7.2813529999999956E-3</v>
      </c>
      <c r="J35" s="2">
        <f>(GETPIVOTDATA("Amount_INR",[1]Pivot_Worksheet!$A$142,"Day",[1]Pivot_Worksheet!A149,"Hour",3))/10000000</f>
        <v>5.750578000000001E-3</v>
      </c>
      <c r="K35" s="2">
        <f>(GETPIVOTDATA("Amount_INR",[1]Pivot_Worksheet!$A$142,"Day",[1]Pivot_Worksheet!A149,"Hour",4))/10000000</f>
        <v>3.634622000000001E-3</v>
      </c>
      <c r="L35" s="2">
        <f>(GETPIVOTDATA("Amount_INR",[1]Pivot_Worksheet!$A$142,"Day",[1]Pivot_Worksheet!A149,"Hour",5))/10000000</f>
        <v>1.2577886000000003E-2</v>
      </c>
      <c r="M35" s="2">
        <f>(GETPIVOTDATA("Amount_INR",[1]Pivot_Worksheet!$A$142,"Day",[1]Pivot_Worksheet!A149,"Hour",6))/10000000</f>
        <v>5.1273325000000036E-2</v>
      </c>
      <c r="N35" s="2">
        <f>(GETPIVOTDATA("Amount_INR",[1]Pivot_Worksheet!$A$142,"Day",[1]Pivot_Worksheet!A149,"Hour",7))/10000000</f>
        <v>0.11373169700000009</v>
      </c>
      <c r="O35" s="2">
        <f>(GETPIVOTDATA("Amount_INR",[1]Pivot_Worksheet!$A$142,"Day",[1]Pivot_Worksheet!A149,"Hour",8))/10000000</f>
        <v>0.25649265299999996</v>
      </c>
      <c r="P35" s="2">
        <f>(GETPIVOTDATA("Amount_INR",[1]Pivot_Worksheet!$A$142,"Day",[1]Pivot_Worksheet!A149,"Hour",9))/10000000</f>
        <v>0.35178594900000076</v>
      </c>
      <c r="Q35" s="2">
        <f>(GETPIVOTDATA("Amount_INR",[1]Pivot_Worksheet!$A$142,"Day",[1]Pivot_Worksheet!A149,"Hour",10))/10000000</f>
        <v>0.41900080300000009</v>
      </c>
      <c r="R35" s="2">
        <f>(GETPIVOTDATA("Amount_INR",[1]Pivot_Worksheet!$A$142,"Day",[1]Pivot_Worksheet!A149,"Hour",11))/10000000</f>
        <v>0.47707758199999833</v>
      </c>
      <c r="S35" s="2">
        <f>(GETPIVOTDATA("Amount_INR",[1]Pivot_Worksheet!$A$142,"Day",[1]Pivot_Worksheet!A149,"Hour",12))/10000000</f>
        <v>0.51347153999999995</v>
      </c>
      <c r="T35" s="2">
        <f>(GETPIVOTDATA("Amount_INR",[1]Pivot_Worksheet!$A$142,"Day",[1]Pivot_Worksheet!A149,"Hour",13))/10000000</f>
        <v>0.48881080399999888</v>
      </c>
      <c r="U35" s="2">
        <f>(GETPIVOTDATA("Amount_INR",[1]Pivot_Worksheet!$A$142,"Day",[1]Pivot_Worksheet!A149,"Hour",14))/10000000</f>
        <v>0.41489212099999973</v>
      </c>
      <c r="V35" s="2">
        <f>(GETPIVOTDATA("Amount_INR",[1]Pivot_Worksheet!$A$142,"Day",[1]Pivot_Worksheet!A149,"Hour",15))/10000000</f>
        <v>0.42615086299999988</v>
      </c>
      <c r="W35" s="2">
        <f>(GETPIVOTDATA("Amount_INR",[1]Pivot_Worksheet!$A$142,"Day",[1]Pivot_Worksheet!A149,"Hour",16))/10000000</f>
        <v>0.4189610880000002</v>
      </c>
      <c r="X35" s="2">
        <f>(GETPIVOTDATA("Amount_INR",[1]Pivot_Worksheet!$A$142,"Day",[1]Pivot_Worksheet!A149,"Hour",17))/10000000</f>
        <v>0.5969125959999998</v>
      </c>
      <c r="Y35" s="2">
        <f>(GETPIVOTDATA("Amount_INR",[1]Pivot_Worksheet!$A$142,"Day",[1]Pivot_Worksheet!A149,"Hour",18))/10000000</f>
        <v>0.66434311099999999</v>
      </c>
      <c r="Z35" s="2">
        <f>(GETPIVOTDATA("Amount_INR",[1]Pivot_Worksheet!$A$142,"Day",[1]Pivot_Worksheet!A149,"Hour",19))/10000000</f>
        <v>0.73250406499999754</v>
      </c>
      <c r="AA35" s="2">
        <f>(GETPIVOTDATA("Amount_INR",[1]Pivot_Worksheet!$A$142,"Day",[1]Pivot_Worksheet!A149,"Hour",20))/10000000</f>
        <v>0.63177770599999927</v>
      </c>
      <c r="AB35" s="2">
        <f>(GETPIVOTDATA("Amount_INR",[1]Pivot_Worksheet!$A$142,"Day",[1]Pivot_Worksheet!A149,"Hour",21))/10000000</f>
        <v>0.30685563299999974</v>
      </c>
      <c r="AC35" s="2">
        <f>(GETPIVOTDATA("Amount_INR",[1]Pivot_Worksheet!$A$142,"Day",[1]Pivot_Worksheet!A149,"Hour",22))/10000000</f>
        <v>0.16701277399999967</v>
      </c>
      <c r="AD35" s="2">
        <f>(GETPIVOTDATA("Amount_INR",[1]Pivot_Worksheet!$A$142,"Day",[1]Pivot_Worksheet!A149,"Hour",23))/10000000</f>
        <v>5.9014177000000015E-2</v>
      </c>
    </row>
    <row r="36" spans="6:30" x14ac:dyDescent="0.3">
      <c r="F36" s="3" t="str">
        <f>[1]Pivot_Worksheet!A150</f>
        <v>Saturday</v>
      </c>
      <c r="G36" s="2">
        <f>(GETPIVOTDATA("Amount_INR",[1]Pivot_Worksheet!$A$142,"Day",[1]Pivot_Worksheet!A150,"Hour",0))/10000000</f>
        <v>3.0906059999999968E-2</v>
      </c>
      <c r="H36" s="2">
        <f>(GETPIVOTDATA("Amount_INR",[1]Pivot_Worksheet!$A$142,"Day",[1]Pivot_Worksheet!A150,"Hour",1))/10000000</f>
        <v>1.6097448000000007E-2</v>
      </c>
      <c r="I36" s="2">
        <f>(GETPIVOTDATA("Amount_INR",[1]Pivot_Worksheet!$A$142,"Day",[1]Pivot_Worksheet!A150,"Hour",2))/10000000</f>
        <v>8.5715790000000045E-3</v>
      </c>
      <c r="J36" s="2">
        <f>(GETPIVOTDATA("Amount_INR",[1]Pivot_Worksheet!$A$142,"Day",[1]Pivot_Worksheet!A150,"Hour",3))/10000000</f>
        <v>3.5452950000000013E-3</v>
      </c>
      <c r="K36" s="2">
        <f>(GETPIVOTDATA("Amount_INR",[1]Pivot_Worksheet!$A$142,"Day",[1]Pivot_Worksheet!A150,"Hour",4))/10000000</f>
        <v>4.3036569999999989E-3</v>
      </c>
      <c r="L36" s="2">
        <f>(GETPIVOTDATA("Amount_INR",[1]Pivot_Worksheet!$A$142,"Day",[1]Pivot_Worksheet!A150,"Hour",5))/10000000</f>
        <v>9.9387560000000034E-3</v>
      </c>
      <c r="M36" s="2">
        <f>(GETPIVOTDATA("Amount_INR",[1]Pivot_Worksheet!$A$142,"Day",[1]Pivot_Worksheet!A150,"Hour",6))/10000000</f>
        <v>5.3453130999999973E-2</v>
      </c>
      <c r="N36" s="2">
        <f>(GETPIVOTDATA("Amount_INR",[1]Pivot_Worksheet!$A$142,"Day",[1]Pivot_Worksheet!A150,"Hour",7))/10000000</f>
        <v>0.10552952799999996</v>
      </c>
      <c r="O36" s="2">
        <f>(GETPIVOTDATA("Amount_INR",[1]Pivot_Worksheet!$A$142,"Day",[1]Pivot_Worksheet!A150,"Hour",8))/10000000</f>
        <v>0.27202780299999985</v>
      </c>
      <c r="P36" s="2">
        <f>(GETPIVOTDATA("Amount_INR",[1]Pivot_Worksheet!$A$142,"Day",[1]Pivot_Worksheet!A150,"Hour",9))/10000000</f>
        <v>0.38708000900000067</v>
      </c>
      <c r="Q36" s="2">
        <f>(GETPIVOTDATA("Amount_INR",[1]Pivot_Worksheet!$A$142,"Day",[1]Pivot_Worksheet!A150,"Hour",10))/10000000</f>
        <v>0.39794162300000041</v>
      </c>
      <c r="R36" s="2">
        <f>(GETPIVOTDATA("Amount_INR",[1]Pivot_Worksheet!$A$142,"Day",[1]Pivot_Worksheet!A150,"Hour",11))/10000000</f>
        <v>0.46966528199999935</v>
      </c>
      <c r="S36" s="2">
        <f>(GETPIVOTDATA("Amount_INR",[1]Pivot_Worksheet!$A$142,"Day",[1]Pivot_Worksheet!A150,"Hour",12))/10000000</f>
        <v>0.52963375800000168</v>
      </c>
      <c r="T36" s="2">
        <f>(GETPIVOTDATA("Amount_INR",[1]Pivot_Worksheet!$A$142,"Day",[1]Pivot_Worksheet!A150,"Hour",13))/10000000</f>
        <v>0.48086074700000098</v>
      </c>
      <c r="U36" s="2">
        <f>(GETPIVOTDATA("Amount_INR",[1]Pivot_Worksheet!$A$142,"Day",[1]Pivot_Worksheet!A150,"Hour",14))/10000000</f>
        <v>0.40721857100000053</v>
      </c>
      <c r="V36" s="2">
        <f>(GETPIVOTDATA("Amount_INR",[1]Pivot_Worksheet!$A$142,"Day",[1]Pivot_Worksheet!A150,"Hour",15))/10000000</f>
        <v>0.39779633299999984</v>
      </c>
      <c r="W36" s="2">
        <f>(GETPIVOTDATA("Amount_INR",[1]Pivot_Worksheet!$A$142,"Day",[1]Pivot_Worksheet!A150,"Hour",16))/10000000</f>
        <v>0.41389997999999995</v>
      </c>
      <c r="X36" s="2">
        <f>(GETPIVOTDATA("Amount_INR",[1]Pivot_Worksheet!$A$142,"Day",[1]Pivot_Worksheet!A150,"Hour",17))/10000000</f>
        <v>0.57744089900000151</v>
      </c>
      <c r="Y36" s="2">
        <f>(GETPIVOTDATA("Amount_INR",[1]Pivot_Worksheet!$A$142,"Day",[1]Pivot_Worksheet!A150,"Hour",18))/10000000</f>
        <v>0.68693542400000196</v>
      </c>
      <c r="Z36" s="2">
        <f>(GETPIVOTDATA("Amount_INR",[1]Pivot_Worksheet!$A$142,"Day",[1]Pivot_Worksheet!A150,"Hour",19))/10000000</f>
        <v>0.73712204299999817</v>
      </c>
      <c r="AA36" s="2">
        <f>(GETPIVOTDATA("Amount_INR",[1]Pivot_Worksheet!$A$142,"Day",[1]Pivot_Worksheet!A150,"Hour",20))/10000000</f>
        <v>0.61394372600000302</v>
      </c>
      <c r="AB36" s="2">
        <f>(GETPIVOTDATA("Amount_INR",[1]Pivot_Worksheet!$A$142,"Day",[1]Pivot_Worksheet!A150,"Hour",21))/10000000</f>
        <v>0.31182752800000046</v>
      </c>
      <c r="AC36" s="2">
        <f>(GETPIVOTDATA("Amount_INR",[1]Pivot_Worksheet!$A$142,"Day",[1]Pivot_Worksheet!A150,"Hour",22))/10000000</f>
        <v>0.15672045700000006</v>
      </c>
      <c r="AD36" s="2">
        <f>(GETPIVOTDATA("Amount_INR",[1]Pivot_Worksheet!$A$142,"Day",[1]Pivot_Worksheet!A150,"Hour",23))/10000000</f>
        <v>4.9374245999999976E-2</v>
      </c>
    </row>
    <row r="37" spans="6:30" x14ac:dyDescent="0.3">
      <c r="G37" s="1"/>
    </row>
  </sheetData>
  <conditionalFormatting sqref="G30:AD36">
    <cfRule type="colorScale" priority="1">
      <colorScale>
        <cfvo type="min"/>
        <cfvo type="percentile" val="50"/>
        <cfvo type="max"/>
        <color rgb="FFA6CBEC"/>
        <color theme="3" tint="0.499984740745262"/>
        <color theme="3" tint="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verma</dc:creator>
  <cp:lastModifiedBy>vishal verma</cp:lastModifiedBy>
  <dcterms:created xsi:type="dcterms:W3CDTF">2026-08-13T06:46:34Z</dcterms:created>
  <dcterms:modified xsi:type="dcterms:W3CDTF">2026-08-13T06:47:24Z</dcterms:modified>
</cp:coreProperties>
</file>